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#Hope#\Documents\"/>
    </mc:Choice>
  </mc:AlternateContent>
  <xr:revisionPtr revIDLastSave="0" documentId="13_ncr:1_{47A8F705-C84B-469F-8490-7CD982A2B9B5}" xr6:coauthVersionLast="47" xr6:coauthVersionMax="47" xr10:uidLastSave="{00000000-0000-0000-0000-000000000000}"/>
  <bookViews>
    <workbookView xWindow="-110" yWindow="-110" windowWidth="19420" windowHeight="10300" activeTab="1" xr2:uid="{396AF13D-56FB-4C91-A4FE-6761D42CE66C}"/>
  </bookViews>
  <sheets>
    <sheet name="MENU" sheetId="1" r:id="rId1"/>
    <sheet name="FACTURE" sheetId="2" r:id="rId2"/>
    <sheet name="CLIENTS" sheetId="3" r:id="rId3"/>
    <sheet name="HISTORIQUES" sheetId="4" r:id="rId4"/>
    <sheet name="DASHBOARD" sheetId="5" r:id="rId5"/>
  </sheets>
  <functionGroups builtInGroupCount="19"/>
  <definedNames>
    <definedName name="_xlnm.Print_Area" localSheetId="1">FACTURE!$B$1:$I$30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3" i="2" l="1"/>
  <c r="H23" i="2" s="1"/>
  <c r="G22" i="2"/>
  <c r="H22" i="2" s="1"/>
  <c r="G21" i="2"/>
  <c r="H21" i="2" s="1"/>
  <c r="G20" i="2"/>
  <c r="H20" i="2" s="1"/>
  <c r="G19" i="2"/>
  <c r="H19" i="2" s="1"/>
  <c r="G18" i="2"/>
  <c r="H18" i="2" s="1"/>
  <c r="G17" i="2"/>
  <c r="H17" i="2" s="1"/>
  <c r="G16" i="2"/>
  <c r="H16" i="2" s="1"/>
  <c r="G15" i="2"/>
  <c r="H15" i="2" s="1"/>
  <c r="G14" i="2"/>
  <c r="H14" i="2" s="1"/>
  <c r="H4" i="2"/>
  <c r="H25" i="2" l="1"/>
  <c r="H26" i="2" s="1"/>
  <c r="H27" i="2" s="1"/>
</calcChain>
</file>

<file path=xl/sharedStrings.xml><?xml version="1.0" encoding="utf-8"?>
<sst xmlns="http://schemas.openxmlformats.org/spreadsheetml/2006/main" count="91" uniqueCount="81">
  <si>
    <t>ARTISAN PRO SARL</t>
  </si>
  <si>
    <t>Date</t>
  </si>
  <si>
    <t>Adresse du client</t>
  </si>
  <si>
    <t>Email du client</t>
  </si>
  <si>
    <t>Nom</t>
  </si>
  <si>
    <t>Prénom</t>
  </si>
  <si>
    <t>Société</t>
  </si>
  <si>
    <t>Adresse</t>
  </si>
  <si>
    <t>Email</t>
  </si>
  <si>
    <t>Téléphone</t>
  </si>
  <si>
    <t>Dupont</t>
  </si>
  <si>
    <t xml:space="preserve">Renard </t>
  </si>
  <si>
    <t>Martin</t>
  </si>
  <si>
    <t>LeBlanc</t>
  </si>
  <si>
    <t>Moreau</t>
  </si>
  <si>
    <t>Marie</t>
  </si>
  <si>
    <t>Pierre</t>
  </si>
  <si>
    <t>Sophie</t>
  </si>
  <si>
    <t>Jacques</t>
  </si>
  <si>
    <t>Claire</t>
  </si>
  <si>
    <t>Particulier</t>
  </si>
  <si>
    <t>Syndic BelleVue</t>
  </si>
  <si>
    <t>SCI Les Pins</t>
  </si>
  <si>
    <t>12 rue des Lilas, 69001</t>
  </si>
  <si>
    <t>45 av. Gambetta, 69003</t>
  </si>
  <si>
    <t>8 impasse du Moulin, 69006</t>
  </si>
  <si>
    <t>3 allées des Cèdres, 69007</t>
  </si>
  <si>
    <t>27 rue Victor Hugo, 69002</t>
  </si>
  <si>
    <t>m.dupont@gmail.com</t>
  </si>
  <si>
    <t>p.renard@syndic-bv.fr</t>
  </si>
  <si>
    <t>sophiemartin69@yahoo.fr</t>
  </si>
  <si>
    <t>j.leblanc@sci-lepins.fr</t>
  </si>
  <si>
    <t>claire.moreau@hotmail.com</t>
  </si>
  <si>
    <t>06 12 34 56 78</t>
  </si>
  <si>
    <t>04 72 11 22 33</t>
  </si>
  <si>
    <t>07 88 99 10 11</t>
  </si>
  <si>
    <t>04 78 55 66 77</t>
  </si>
  <si>
    <t>06 44 55 66 77</t>
  </si>
  <si>
    <t>12, rue de la République, 69001 Lyon</t>
  </si>
  <si>
    <t>Tel: 04 72 00 11 22 | contact@artisanpro.fr</t>
  </si>
  <si>
    <t>FAC-2025-001</t>
  </si>
  <si>
    <t>Date :</t>
  </si>
  <si>
    <t>Échéance :</t>
  </si>
  <si>
    <t>FACTURER A :</t>
  </si>
  <si>
    <t>Téléphone du client</t>
  </si>
  <si>
    <t>Description</t>
  </si>
  <si>
    <t>Unité</t>
  </si>
  <si>
    <t>Quantité</t>
  </si>
  <si>
    <t>Prix HT</t>
  </si>
  <si>
    <t>Remise %</t>
  </si>
  <si>
    <t>Base HT</t>
  </si>
  <si>
    <t>Total HT</t>
  </si>
  <si>
    <t>Total HT :</t>
  </si>
  <si>
    <t>TVA (20%) :</t>
  </si>
  <si>
    <t>Total TTC :</t>
  </si>
  <si>
    <t>N° Facture</t>
  </si>
  <si>
    <t>Client</t>
  </si>
  <si>
    <t>HT (€)</t>
  </si>
  <si>
    <t>TVA (€)</t>
  </si>
  <si>
    <t>TTC (€)</t>
  </si>
  <si>
    <t>Statut</t>
  </si>
  <si>
    <t>TABLEAU DE BORD -- STATISTIQUES MENSUELLES</t>
  </si>
  <si>
    <t>CA du mois (TTC) :</t>
  </si>
  <si>
    <t>Nombre de factures :</t>
  </si>
  <si>
    <t xml:space="preserve">Factures impayées : </t>
  </si>
  <si>
    <t xml:space="preserve">Dernière mise à jour : </t>
  </si>
  <si>
    <t>FAC-2025-002</t>
  </si>
  <si>
    <t>FAC-2025-003</t>
  </si>
  <si>
    <t>FAC-2025-004</t>
  </si>
  <si>
    <t>FAC-2025-005</t>
  </si>
  <si>
    <t>Renard</t>
  </si>
  <si>
    <t>Payée</t>
  </si>
  <si>
    <t>En attente</t>
  </si>
  <si>
    <t>Main d'œuvre plombier</t>
  </si>
  <si>
    <t>heure</t>
  </si>
  <si>
    <t>Déplacement</t>
  </si>
  <si>
    <t>forfait</t>
  </si>
  <si>
    <t>FAC-2026-006</t>
  </si>
  <si>
    <t>Dépannage chaudière</t>
  </si>
  <si>
    <t>Fourniture tuyau cuivre</t>
  </si>
  <si>
    <t>mètre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</si>
</sst>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8" formatCode="[$]dd/mm/yyyy;@" x16r2:formatCode16="[$-fr-GA,1]dd/mm/yyyy;@"/>
    <numFmt numFmtId="169" formatCode="_-* #,##0.00\ [$€-40C]_-;\-* #,##0.00\ [$€-40C]_-;_-* &quot;-&quot;??\ [$€-40C]_-;_-@_-"/>
    <numFmt numFmtId="170" formatCode="_-* #,##0.00\ _F_C_F_A_-;\-* #,##0.00\ _F_C_F_A_-;_-* &quot;-&quot;??\ _F_C_F_A_-;_-@_-"/>
  </numFmts>
  <fonts count="11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0"/>
      <color rgb="FF000000"/>
      <name val="Arial"/>
      <family val="2"/>
    </font>
    <font>
      <u/>
      <sz val="11"/>
      <color theme="1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8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 tint="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499984740745262"/>
        <bgColor indexed="64"/>
      </patternFill>
    </fill>
  </fills>
  <borders count="8">
    <border>
      <left/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33">
    <xf numFmtId="0" fontId="0" fillId="0" borderId="0" xfId="0"/>
    <xf numFmtId="0" fontId="0" fillId="2" borderId="0" xfId="0" applyFill="1"/>
    <xf numFmtId="0" fontId="3" fillId="0" borderId="0" xfId="0" applyFont="1"/>
    <xf numFmtId="0" fontId="1" fillId="2" borderId="0" xfId="0" applyFont="1" applyFill="1"/>
    <xf numFmtId="0" fontId="5" fillId="0" borderId="0" xfId="1"/>
    <xf numFmtId="0" fontId="7" fillId="0" borderId="0" xfId="0" applyFont="1"/>
    <xf numFmtId="0" fontId="7" fillId="2" borderId="0" xfId="0" applyFont="1" applyFill="1"/>
    <xf numFmtId="14" fontId="0" fillId="0" borderId="0" xfId="0" applyNumberFormat="1"/>
    <xf numFmtId="0" fontId="0" fillId="3" borderId="0" xfId="0" applyFill="1"/>
    <xf numFmtId="0" fontId="2" fillId="3" borderId="0" xfId="0" applyFont="1" applyFill="1"/>
    <xf numFmtId="0" fontId="6" fillId="3" borderId="0" xfId="0" applyFont="1" applyFill="1"/>
    <xf numFmtId="168" fontId="0" fillId="3" borderId="0" xfId="0" applyNumberFormat="1" applyFill="1"/>
    <xf numFmtId="0" fontId="0" fillId="3" borderId="0" xfId="0" applyFill="1" applyAlignment="1">
      <alignment horizontal="right"/>
    </xf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0" xfId="0" applyFill="1" applyBorder="1"/>
    <xf numFmtId="0" fontId="2" fillId="3" borderId="0" xfId="0" applyFont="1" applyFill="1" applyBorder="1"/>
    <xf numFmtId="0" fontId="0" fillId="0" borderId="5" xfId="0" applyBorder="1"/>
    <xf numFmtId="0" fontId="0" fillId="0" borderId="6" xfId="0" applyBorder="1"/>
    <xf numFmtId="0" fontId="1" fillId="2" borderId="0" xfId="0" applyFont="1" applyFill="1" applyAlignment="1">
      <alignment horizontal="center"/>
    </xf>
    <xf numFmtId="0" fontId="0" fillId="4" borderId="0" xfId="0" applyFill="1"/>
    <xf numFmtId="0" fontId="2" fillId="0" borderId="0" xfId="0" applyFont="1" applyAlignment="1">
      <alignment horizontal="right"/>
    </xf>
    <xf numFmtId="169" fontId="4" fillId="0" borderId="0" xfId="0" applyNumberFormat="1" applyFont="1"/>
    <xf numFmtId="0" fontId="8" fillId="5" borderId="0" xfId="0" applyFont="1" applyFill="1" applyAlignment="1">
      <alignment horizontal="right"/>
    </xf>
    <xf numFmtId="169" fontId="9" fillId="5" borderId="0" xfId="0" applyNumberFormat="1" applyFont="1" applyFill="1"/>
    <xf numFmtId="0" fontId="0" fillId="0" borderId="7" xfId="0" applyBorder="1" applyAlignment="1">
      <alignment horizontal="right"/>
    </xf>
    <xf numFmtId="0" fontId="0" fillId="0" borderId="7" xfId="0" applyBorder="1"/>
    <xf numFmtId="170" fontId="0" fillId="0" borderId="0" xfId="0" applyNumberFormat="1"/>
    <xf numFmtId="3" fontId="0" fillId="4" borderId="0" xfId="0" applyNumberFormat="1" applyFill="1"/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170" fontId="0" fillId="4" borderId="0" xfId="0" applyNumberFormat="1" applyFill="1" applyAlignment="1">
      <alignment horizontal="right"/>
    </xf>
  </cellXfs>
  <cellStyles count="2">
    <cellStyle name="Lien hypertexte" xfId="1" builtinId="8"/>
    <cellStyle name="Normal" xfId="0" builtinId="0"/>
  </cellStyles>
  <dxfs count="0"/>
  <tableStyles count="1" defaultTableStyle="TableStyleMedium2" defaultPivotStyle="PivotStyleLight16">
    <tableStyle name="Invisible" pivot="0" table="0" count="0" xr9:uid="{6FF67384-1336-412E-ACB7-E814FC90BDA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27</xdr:row>
          <xdr:rowOff>6350</xdr:rowOff>
        </xdr:from>
        <xdr:to>
          <xdr:col>3</xdr:col>
          <xdr:colOff>25400</xdr:colOff>
          <xdr:row>29</xdr:row>
          <xdr:rowOff>19050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GA" sz="1100" b="0" i="0" u="none" strike="noStrike" baseline="0">
                  <a:solidFill>
                    <a:srgbClr val="000000"/>
                  </a:solidFill>
                  <a:latin typeface="Aptos Narrow"/>
                </a:rPr>
                <a:t>Nouvelle Facture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25400</xdr:colOff>
          <xdr:row>27</xdr:row>
          <xdr:rowOff>12700</xdr:rowOff>
        </xdr:from>
        <xdr:to>
          <xdr:col>4</xdr:col>
          <xdr:colOff>742950</xdr:colOff>
          <xdr:row>29</xdr:row>
          <xdr:rowOff>19050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GA" sz="1100" b="0" i="0" u="none" strike="noStrike" baseline="0">
                  <a:solidFill>
                    <a:srgbClr val="000000"/>
                  </a:solidFill>
                  <a:latin typeface="Aptos Narrow"/>
                </a:rPr>
                <a:t>Valider &amp; Enregistrer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755650</xdr:colOff>
          <xdr:row>27</xdr:row>
          <xdr:rowOff>25400</xdr:rowOff>
        </xdr:from>
        <xdr:to>
          <xdr:col>7</xdr:col>
          <xdr:colOff>25400</xdr:colOff>
          <xdr:row>29</xdr:row>
          <xdr:rowOff>25400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GA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Exporter en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31750</xdr:colOff>
          <xdr:row>27</xdr:row>
          <xdr:rowOff>31750</xdr:rowOff>
        </xdr:from>
        <xdr:to>
          <xdr:col>8</xdr:col>
          <xdr:colOff>6350</xdr:colOff>
          <xdr:row>28</xdr:row>
          <xdr:rowOff>177800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GA" sz="1100" b="0" i="0" u="none" strike="noStrike" baseline="0">
                  <a:solidFill>
                    <a:srgbClr val="000000"/>
                  </a:solidFill>
                  <a:latin typeface="Aptos Narrow"/>
                </a:rPr>
                <a:t>Sauvegarder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7</xdr:row>
          <xdr:rowOff>6350</xdr:rowOff>
        </xdr:from>
        <xdr:to>
          <xdr:col>3</xdr:col>
          <xdr:colOff>19050</xdr:colOff>
          <xdr:row>9</xdr:row>
          <xdr:rowOff>19050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GA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Actualiser Dashboard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sophiemartin69@yahoo.fr" TargetMode="External"/><Relationship Id="rId2" Type="http://schemas.openxmlformats.org/officeDocument/2006/relationships/hyperlink" Target="mailto:p.renard@syndic-bv.fr" TargetMode="External"/><Relationship Id="rId1" Type="http://schemas.openxmlformats.org/officeDocument/2006/relationships/hyperlink" Target="mailto:m.dupont@gmail.com" TargetMode="External"/><Relationship Id="rId5" Type="http://schemas.openxmlformats.org/officeDocument/2006/relationships/hyperlink" Target="mailto:claire.moreau@hotmail.com" TargetMode="External"/><Relationship Id="rId4" Type="http://schemas.openxmlformats.org/officeDocument/2006/relationships/hyperlink" Target="mailto:j.leblanc@sci-lepins.fr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19928-B989-46E7-B977-BF785A3650FD}">
  <sheetPr codeName="Feuil1"/>
  <dimension ref="A1"/>
  <sheetViews>
    <sheetView workbookViewId="0"/>
  </sheetViews>
  <sheetFormatPr baseColWidth="10" defaultRowHeight="14.5" x14ac:dyDescent="0.3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DAF34-1447-44DD-ACC3-442D17BA12AC}">
  <sheetPr codeName="Feuil2">
    <pageSetUpPr fitToPage="1"/>
  </sheetPr>
  <dimension ref="B2:H27"/>
  <sheetViews>
    <sheetView tabSelected="1" topLeftCell="A14" workbookViewId="0">
      <selection activeCell="B1" sqref="B1:I30"/>
    </sheetView>
  </sheetViews>
  <sheetFormatPr baseColWidth="10" defaultRowHeight="14.5" x14ac:dyDescent="0.35"/>
  <cols>
    <col min="2" max="2" width="35.453125" bestFit="1" customWidth="1"/>
    <col min="5" max="5" width="11.36328125" bestFit="1" customWidth="1"/>
    <col min="8" max="8" width="14.453125" bestFit="1" customWidth="1"/>
  </cols>
  <sheetData>
    <row r="2" spans="2:8" ht="22" customHeight="1" x14ac:dyDescent="0.45">
      <c r="B2" s="6" t="s">
        <v>0</v>
      </c>
      <c r="G2" s="8"/>
      <c r="H2" s="10" t="s">
        <v>77</v>
      </c>
    </row>
    <row r="3" spans="2:8" ht="22" customHeight="1" x14ac:dyDescent="0.35">
      <c r="B3" s="1" t="s">
        <v>38</v>
      </c>
      <c r="G3" s="12" t="s">
        <v>41</v>
      </c>
      <c r="H3" s="11">
        <v>46138</v>
      </c>
    </row>
    <row r="4" spans="2:8" ht="22" customHeight="1" x14ac:dyDescent="0.35">
      <c r="B4" s="1" t="s">
        <v>39</v>
      </c>
      <c r="G4" s="12" t="s">
        <v>42</v>
      </c>
      <c r="H4" s="11">
        <f>H3+30</f>
        <v>46168</v>
      </c>
    </row>
    <row r="5" spans="2:8" ht="6" customHeight="1" x14ac:dyDescent="0.35">
      <c r="B5" s="13"/>
      <c r="C5" s="14"/>
      <c r="D5" s="14"/>
      <c r="E5" s="14"/>
      <c r="F5" s="14"/>
      <c r="G5" s="14"/>
      <c r="H5" s="15"/>
    </row>
    <row r="6" spans="2:8" ht="15" thickBot="1" x14ac:dyDescent="0.4">
      <c r="B6" s="17" t="s">
        <v>43</v>
      </c>
      <c r="C6" s="9"/>
      <c r="D6" s="9"/>
      <c r="E6" s="9"/>
      <c r="F6" s="9"/>
      <c r="G6" s="9"/>
      <c r="H6" s="9"/>
    </row>
    <row r="7" spans="2:8" ht="18" customHeight="1" thickBot="1" x14ac:dyDescent="0.4">
      <c r="B7" s="30"/>
      <c r="C7" s="31"/>
      <c r="D7" s="18"/>
      <c r="E7" s="18"/>
      <c r="F7" s="18"/>
      <c r="G7" s="18"/>
      <c r="H7" s="19"/>
    </row>
    <row r="8" spans="2:8" ht="18" customHeight="1" x14ac:dyDescent="0.35">
      <c r="B8" s="16" t="s">
        <v>2</v>
      </c>
    </row>
    <row r="9" spans="2:8" ht="18" customHeight="1" x14ac:dyDescent="0.35">
      <c r="B9" s="16" t="s">
        <v>3</v>
      </c>
    </row>
    <row r="10" spans="2:8" ht="18" customHeight="1" x14ac:dyDescent="0.35">
      <c r="B10" s="16" t="s">
        <v>44</v>
      </c>
    </row>
    <row r="13" spans="2:8" x14ac:dyDescent="0.35">
      <c r="B13" s="20" t="s">
        <v>45</v>
      </c>
      <c r="C13" s="20" t="s">
        <v>46</v>
      </c>
      <c r="D13" s="20" t="s">
        <v>47</v>
      </c>
      <c r="E13" s="20" t="s">
        <v>48</v>
      </c>
      <c r="F13" s="20" t="s">
        <v>49</v>
      </c>
      <c r="G13" s="20" t="s">
        <v>50</v>
      </c>
      <c r="H13" s="20" t="s">
        <v>51</v>
      </c>
    </row>
    <row r="14" spans="2:8" x14ac:dyDescent="0.35">
      <c r="B14" s="21" t="s">
        <v>78</v>
      </c>
      <c r="C14" s="21" t="s">
        <v>76</v>
      </c>
      <c r="D14" s="29">
        <v>1</v>
      </c>
      <c r="E14" s="32">
        <v>90</v>
      </c>
      <c r="F14" s="21">
        <v>0</v>
      </c>
      <c r="G14" s="21">
        <f>D14*E14*(1-F14)</f>
        <v>90</v>
      </c>
      <c r="H14" s="21">
        <f>G14</f>
        <v>90</v>
      </c>
    </row>
    <row r="15" spans="2:8" x14ac:dyDescent="0.35">
      <c r="B15" s="21" t="s">
        <v>73</v>
      </c>
      <c r="C15" s="21" t="s">
        <v>74</v>
      </c>
      <c r="D15" s="29">
        <v>2</v>
      </c>
      <c r="E15" s="32">
        <v>55</v>
      </c>
      <c r="F15" s="21">
        <v>0</v>
      </c>
      <c r="G15" s="21">
        <f t="shared" ref="G15:G23" si="0">D15*E15*(1-F15)</f>
        <v>110</v>
      </c>
      <c r="H15" s="21">
        <f t="shared" ref="H15:H23" si="1">G15</f>
        <v>110</v>
      </c>
    </row>
    <row r="16" spans="2:8" x14ac:dyDescent="0.35">
      <c r="B16" s="21" t="s">
        <v>79</v>
      </c>
      <c r="C16" s="21" t="s">
        <v>80</v>
      </c>
      <c r="D16" s="29">
        <v>3</v>
      </c>
      <c r="E16" s="32">
        <v>8.5</v>
      </c>
      <c r="F16" s="21"/>
      <c r="G16" s="21">
        <f t="shared" si="0"/>
        <v>25.5</v>
      </c>
      <c r="H16" s="21">
        <f t="shared" si="1"/>
        <v>25.5</v>
      </c>
    </row>
    <row r="17" spans="2:8" x14ac:dyDescent="0.35">
      <c r="B17" s="21" t="s">
        <v>75</v>
      </c>
      <c r="C17" s="21" t="s">
        <v>76</v>
      </c>
      <c r="D17" s="29">
        <v>1</v>
      </c>
      <c r="E17" s="32">
        <v>25</v>
      </c>
      <c r="F17" s="21"/>
      <c r="G17" s="21">
        <f t="shared" si="0"/>
        <v>25</v>
      </c>
      <c r="H17" s="21">
        <f t="shared" si="1"/>
        <v>25</v>
      </c>
    </row>
    <row r="18" spans="2:8" x14ac:dyDescent="0.35">
      <c r="B18" s="21"/>
      <c r="C18" s="21"/>
      <c r="D18" s="29"/>
      <c r="E18" s="32"/>
      <c r="F18" s="21"/>
      <c r="G18" s="21">
        <f t="shared" si="0"/>
        <v>0</v>
      </c>
      <c r="H18" s="21">
        <f t="shared" si="1"/>
        <v>0</v>
      </c>
    </row>
    <row r="19" spans="2:8" x14ac:dyDescent="0.35">
      <c r="B19" s="21"/>
      <c r="C19" s="21"/>
      <c r="D19" s="29"/>
      <c r="E19" s="32"/>
      <c r="F19" s="21"/>
      <c r="G19" s="21">
        <f t="shared" si="0"/>
        <v>0</v>
      </c>
      <c r="H19" s="21">
        <f t="shared" si="1"/>
        <v>0</v>
      </c>
    </row>
    <row r="20" spans="2:8" x14ac:dyDescent="0.35">
      <c r="B20" s="21"/>
      <c r="C20" s="21"/>
      <c r="D20" s="29"/>
      <c r="E20" s="32"/>
      <c r="F20" s="21"/>
      <c r="G20" s="21">
        <f t="shared" si="0"/>
        <v>0</v>
      </c>
      <c r="H20" s="21">
        <f t="shared" si="1"/>
        <v>0</v>
      </c>
    </row>
    <row r="21" spans="2:8" x14ac:dyDescent="0.35">
      <c r="B21" s="21"/>
      <c r="C21" s="21"/>
      <c r="D21" s="29"/>
      <c r="E21" s="32"/>
      <c r="F21" s="21"/>
      <c r="G21" s="21">
        <f t="shared" si="0"/>
        <v>0</v>
      </c>
      <c r="H21" s="21">
        <f t="shared" si="1"/>
        <v>0</v>
      </c>
    </row>
    <row r="22" spans="2:8" x14ac:dyDescent="0.35">
      <c r="B22" s="21"/>
      <c r="C22" s="21"/>
      <c r="D22" s="29"/>
      <c r="E22" s="32"/>
      <c r="F22" s="21"/>
      <c r="G22" s="21">
        <f t="shared" si="0"/>
        <v>0</v>
      </c>
      <c r="H22" s="21">
        <f t="shared" si="1"/>
        <v>0</v>
      </c>
    </row>
    <row r="23" spans="2:8" x14ac:dyDescent="0.35">
      <c r="B23" s="21"/>
      <c r="C23" s="21"/>
      <c r="D23" s="29"/>
      <c r="E23" s="32"/>
      <c r="F23" s="21"/>
      <c r="G23" s="21">
        <f t="shared" si="0"/>
        <v>0</v>
      </c>
      <c r="H23" s="21">
        <f t="shared" si="1"/>
        <v>0</v>
      </c>
    </row>
    <row r="25" spans="2:8" x14ac:dyDescent="0.35">
      <c r="G25" s="22" t="s">
        <v>52</v>
      </c>
      <c r="H25" s="23">
        <f>SUM(H14:H23)</f>
        <v>250.5</v>
      </c>
    </row>
    <row r="26" spans="2:8" x14ac:dyDescent="0.35">
      <c r="G26" s="22" t="s">
        <v>53</v>
      </c>
      <c r="H26" s="23">
        <f>H25*0.2</f>
        <v>50.1</v>
      </c>
    </row>
    <row r="27" spans="2:8" ht="16" x14ac:dyDescent="0.4">
      <c r="G27" s="24" t="s">
        <v>54</v>
      </c>
      <c r="H27" s="25">
        <f>H25+H26</f>
        <v>300.60000000000002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scale="7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NouvelleFacture">
                <anchor moveWithCells="1" sizeWithCells="1">
                  <from>
                    <xdr:col>1</xdr:col>
                    <xdr:colOff>12700</xdr:colOff>
                    <xdr:row>27</xdr:row>
                    <xdr:rowOff>6350</xdr:rowOff>
                  </from>
                  <to>
                    <xdr:col>3</xdr:col>
                    <xdr:colOff>25400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>
                <anchor moveWithCells="1" sizeWithCells="1">
                  <from>
                    <xdr:col>3</xdr:col>
                    <xdr:colOff>25400</xdr:colOff>
                    <xdr:row>27</xdr:row>
                    <xdr:rowOff>12700</xdr:rowOff>
                  </from>
                  <to>
                    <xdr:col>4</xdr:col>
                    <xdr:colOff>742950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>
                <anchor moveWithCells="1" sizeWithCells="1">
                  <from>
                    <xdr:col>4</xdr:col>
                    <xdr:colOff>755650</xdr:colOff>
                    <xdr:row>27</xdr:row>
                    <xdr:rowOff>25400</xdr:rowOff>
                  </from>
                  <to>
                    <xdr:col>7</xdr:col>
                    <xdr:colOff>25400</xdr:colOff>
                    <xdr:row>29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>
                <anchor moveWithCells="1" sizeWithCells="1">
                  <from>
                    <xdr:col>7</xdr:col>
                    <xdr:colOff>31750</xdr:colOff>
                    <xdr:row>27</xdr:row>
                    <xdr:rowOff>31750</xdr:rowOff>
                  </from>
                  <to>
                    <xdr:col>8</xdr:col>
                    <xdr:colOff>6350</xdr:colOff>
                    <xdr:row>28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8BCCE30-F8DB-41A5-8319-D308CD6DFD51}">
          <x14:formula1>
            <xm:f>CLIENTS!$A$2:$A$100</xm:f>
          </x14:formula1>
          <xm:sqref>B7:C7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C6D64C-69C8-44C5-8ABE-32A5C6974FB8}">
  <sheetPr codeName="Feuil3"/>
  <dimension ref="A1:F8"/>
  <sheetViews>
    <sheetView workbookViewId="0">
      <selection activeCell="F7" sqref="F7"/>
    </sheetView>
  </sheetViews>
  <sheetFormatPr baseColWidth="10" defaultRowHeight="14.5" x14ac:dyDescent="0.35"/>
  <cols>
    <col min="3" max="3" width="13.54296875" bestFit="1" customWidth="1"/>
    <col min="4" max="4" width="23.1796875" bestFit="1" customWidth="1"/>
    <col min="5" max="5" width="24.08984375" bestFit="1" customWidth="1"/>
    <col min="6" max="6" width="12.26953125" bestFit="1" customWidth="1"/>
  </cols>
  <sheetData>
    <row r="1" spans="1:6" x14ac:dyDescent="0.35">
      <c r="A1" s="3" t="s">
        <v>4</v>
      </c>
      <c r="B1" s="3" t="s">
        <v>5</v>
      </c>
      <c r="C1" s="3" t="s">
        <v>6</v>
      </c>
      <c r="D1" s="3" t="s">
        <v>7</v>
      </c>
      <c r="E1" s="3" t="s">
        <v>8</v>
      </c>
      <c r="F1" s="3" t="s">
        <v>9</v>
      </c>
    </row>
    <row r="2" spans="1:6" x14ac:dyDescent="0.35">
      <c r="A2" t="s">
        <v>10</v>
      </c>
      <c r="B2" t="s">
        <v>15</v>
      </c>
      <c r="C2" t="s">
        <v>20</v>
      </c>
      <c r="D2" t="s">
        <v>23</v>
      </c>
      <c r="E2" s="4" t="s">
        <v>28</v>
      </c>
      <c r="F2" t="s">
        <v>33</v>
      </c>
    </row>
    <row r="3" spans="1:6" x14ac:dyDescent="0.35">
      <c r="A3" t="s">
        <v>11</v>
      </c>
      <c r="B3" t="s">
        <v>16</v>
      </c>
      <c r="C3" t="s">
        <v>21</v>
      </c>
      <c r="D3" t="s">
        <v>24</v>
      </c>
      <c r="E3" s="4" t="s">
        <v>29</v>
      </c>
      <c r="F3" t="s">
        <v>34</v>
      </c>
    </row>
    <row r="4" spans="1:6" x14ac:dyDescent="0.35">
      <c r="A4" t="s">
        <v>12</v>
      </c>
      <c r="B4" t="s">
        <v>17</v>
      </c>
      <c r="C4" t="s">
        <v>20</v>
      </c>
      <c r="D4" t="s">
        <v>25</v>
      </c>
      <c r="E4" s="4" t="s">
        <v>30</v>
      </c>
      <c r="F4" t="s">
        <v>35</v>
      </c>
    </row>
    <row r="5" spans="1:6" x14ac:dyDescent="0.35">
      <c r="A5" t="s">
        <v>13</v>
      </c>
      <c r="B5" t="s">
        <v>18</v>
      </c>
      <c r="C5" t="s">
        <v>22</v>
      </c>
      <c r="D5" t="s">
        <v>26</v>
      </c>
      <c r="E5" s="4" t="s">
        <v>31</v>
      </c>
      <c r="F5" t="s">
        <v>36</v>
      </c>
    </row>
    <row r="6" spans="1:6" x14ac:dyDescent="0.35">
      <c r="A6" t="s">
        <v>14</v>
      </c>
      <c r="B6" t="s">
        <v>19</v>
      </c>
      <c r="C6" t="s">
        <v>20</v>
      </c>
      <c r="D6" t="s">
        <v>27</v>
      </c>
      <c r="E6" s="4" t="s">
        <v>32</v>
      </c>
      <c r="F6" t="s">
        <v>37</v>
      </c>
    </row>
    <row r="8" spans="1:6" x14ac:dyDescent="0.35">
      <c r="F8" s="2"/>
    </row>
  </sheetData>
  <sheetProtection algorithmName="SHA-512" hashValue="l7vvVgYrL8DF8fEJYI6+XBUaXY2Nqms8ZEJBdFEO9f7z5HjMeAb+H1ctlFBy2WzmoTn8l97vjNWc2PqREw9k3A==" saltValue="aODjJZw4eqq96KlsI1O+iA==" spinCount="100000" sheet="1" objects="1" scenarios="1" selectLockedCells="1"/>
  <hyperlinks>
    <hyperlink ref="E2" r:id="rId1" xr:uid="{D11EF88A-1DB6-4244-BA21-D97B12C3CC52}"/>
    <hyperlink ref="E3" r:id="rId2" xr:uid="{0C018561-EDED-49C2-B70E-C96220CD5D50}"/>
    <hyperlink ref="E4" r:id="rId3" xr:uid="{373AF880-CF5B-4038-87CB-87B9C95A03FD}"/>
    <hyperlink ref="E5" r:id="rId4" xr:uid="{1031CDD2-06FA-4764-9A38-4DF9DC32CD24}"/>
    <hyperlink ref="E6" r:id="rId5" xr:uid="{B8502ACF-85E3-44BF-BAE7-B0B297425E48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AC305-8AB6-465F-96B7-43B3B50AF27B}">
  <sheetPr codeName="Feuil4"/>
  <dimension ref="A1:G6"/>
  <sheetViews>
    <sheetView workbookViewId="0">
      <selection activeCell="G7" sqref="G7"/>
    </sheetView>
  </sheetViews>
  <sheetFormatPr baseColWidth="10" defaultRowHeight="14.5" x14ac:dyDescent="0.35"/>
  <cols>
    <col min="1" max="1" width="12.453125" bestFit="1" customWidth="1"/>
    <col min="2" max="2" width="10.08984375" bestFit="1" customWidth="1"/>
    <col min="3" max="3" width="7.26953125" bestFit="1" customWidth="1"/>
    <col min="4" max="6" width="12.36328125" bestFit="1" customWidth="1"/>
    <col min="7" max="7" width="9.08984375" bestFit="1" customWidth="1"/>
  </cols>
  <sheetData>
    <row r="1" spans="1:7" x14ac:dyDescent="0.35">
      <c r="A1" s="3" t="s">
        <v>55</v>
      </c>
      <c r="B1" s="3" t="s">
        <v>1</v>
      </c>
      <c r="C1" s="3" t="s">
        <v>56</v>
      </c>
      <c r="D1" s="3" t="s">
        <v>57</v>
      </c>
      <c r="E1" s="3" t="s">
        <v>58</v>
      </c>
      <c r="F1" s="3" t="s">
        <v>59</v>
      </c>
      <c r="G1" s="3" t="s">
        <v>60</v>
      </c>
    </row>
    <row r="2" spans="1:7" x14ac:dyDescent="0.35">
      <c r="A2" t="s">
        <v>40</v>
      </c>
      <c r="B2" s="7">
        <v>45809</v>
      </c>
      <c r="C2" t="s">
        <v>10</v>
      </c>
      <c r="D2" s="28">
        <v>190</v>
      </c>
      <c r="E2" s="28">
        <v>38</v>
      </c>
      <c r="F2" s="28">
        <v>228</v>
      </c>
      <c r="G2" t="s">
        <v>71</v>
      </c>
    </row>
    <row r="3" spans="1:7" x14ac:dyDescent="0.35">
      <c r="A3" t="s">
        <v>66</v>
      </c>
      <c r="B3" s="7">
        <v>45811</v>
      </c>
      <c r="C3" t="s">
        <v>70</v>
      </c>
      <c r="D3" s="28">
        <v>255.5</v>
      </c>
      <c r="E3" s="28">
        <v>51.1</v>
      </c>
      <c r="F3" s="28">
        <v>306.60000000000002</v>
      </c>
      <c r="G3" t="s">
        <v>72</v>
      </c>
    </row>
    <row r="4" spans="1:7" x14ac:dyDescent="0.35">
      <c r="A4" t="s">
        <v>67</v>
      </c>
      <c r="B4" s="7">
        <v>45815</v>
      </c>
      <c r="C4" t="s">
        <v>12</v>
      </c>
      <c r="D4" s="28">
        <v>65</v>
      </c>
      <c r="E4" s="28">
        <v>13</v>
      </c>
      <c r="F4" s="28">
        <v>78</v>
      </c>
      <c r="G4" t="s">
        <v>71</v>
      </c>
    </row>
    <row r="5" spans="1:7" x14ac:dyDescent="0.35">
      <c r="A5" t="s">
        <v>68</v>
      </c>
      <c r="B5" s="7">
        <v>45818</v>
      </c>
      <c r="C5" t="s">
        <v>13</v>
      </c>
      <c r="D5" s="28">
        <v>520</v>
      </c>
      <c r="E5" s="28">
        <v>104</v>
      </c>
      <c r="F5" s="28">
        <v>624</v>
      </c>
      <c r="G5" t="s">
        <v>72</v>
      </c>
    </row>
    <row r="6" spans="1:7" x14ac:dyDescent="0.35">
      <c r="A6" t="s">
        <v>69</v>
      </c>
      <c r="B6" s="7">
        <v>45823</v>
      </c>
      <c r="C6" t="s">
        <v>14</v>
      </c>
      <c r="D6" s="28">
        <v>130</v>
      </c>
      <c r="E6" s="28">
        <v>26</v>
      </c>
      <c r="F6" s="28">
        <v>156</v>
      </c>
      <c r="G6" t="s">
        <v>71</v>
      </c>
    </row>
  </sheetData>
  <sheetProtection algorithmName="SHA-512" hashValue="SMT0UVfLC7YxjqagjFI7es94KLk1WDijBsHarBvDsGCEnHRX6yzFl/9jl+FxOihfNE4o5BfDrNtRGvskbPMm7Q==" saltValue="+JAqz048rDUz4kCb/UkD4A==" spinCount="100000" sheet="1" objects="1" scenarios="1" selectLockedCells="1"/>
  <phoneticPr fontId="10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7980-C419-4756-8DDB-F5B4584B9ACF}">
  <sheetPr codeName="Feuil5"/>
  <dimension ref="B2:C6"/>
  <sheetViews>
    <sheetView workbookViewId="0">
      <selection activeCell="C11" sqref="C11"/>
    </sheetView>
  </sheetViews>
  <sheetFormatPr baseColWidth="10" defaultRowHeight="14.5" x14ac:dyDescent="0.35"/>
  <cols>
    <col min="2" max="2" width="53" bestFit="1" customWidth="1"/>
  </cols>
  <sheetData>
    <row r="2" spans="2:3" ht="18.5" x14ac:dyDescent="0.45">
      <c r="B2" s="5" t="s">
        <v>61</v>
      </c>
    </row>
    <row r="3" spans="2:3" x14ac:dyDescent="0.35">
      <c r="B3" s="26" t="s">
        <v>62</v>
      </c>
      <c r="C3" s="27"/>
    </row>
    <row r="4" spans="2:3" x14ac:dyDescent="0.35">
      <c r="B4" s="26" t="s">
        <v>63</v>
      </c>
      <c r="C4" s="27"/>
    </row>
    <row r="5" spans="2:3" x14ac:dyDescent="0.35">
      <c r="B5" s="26" t="s">
        <v>64</v>
      </c>
      <c r="C5" s="27"/>
    </row>
    <row r="6" spans="2:3" x14ac:dyDescent="0.35">
      <c r="B6" s="26" t="s">
        <v>65</v>
      </c>
      <c r="C6" s="2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>
                <anchor moveWithCells="1" sizeWithCells="1">
                  <from>
                    <xdr:col>1</xdr:col>
                    <xdr:colOff>12700</xdr:colOff>
                    <xdr:row>7</xdr:row>
                    <xdr:rowOff>6350</xdr:rowOff>
                  </from>
                  <to>
                    <xdr:col>3</xdr:col>
                    <xdr:colOff>19050</xdr:colOff>
                    <xdr:row>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</vt:i4>
      </vt:variant>
    </vt:vector>
  </HeadingPairs>
  <TitlesOfParts>
    <vt:vector size="6" baseType="lpstr">
      <vt:lpstr>MENU</vt:lpstr>
      <vt:lpstr>FACTURE</vt:lpstr>
      <vt:lpstr>CLIENTS</vt:lpstr>
      <vt:lpstr>HISTORIQUES</vt:lpstr>
      <vt:lpstr>DASHBOARD</vt:lpstr>
      <vt:lpstr>FACTURE!Zone_d_impression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Cedric</dc:creator>
  <cp:lastModifiedBy>Vincent Cedric</cp:lastModifiedBy>
  <cp:lastPrinted>2026-04-26T14:40:53Z</cp:lastPrinted>
  <dcterms:created xsi:type="dcterms:W3CDTF">2026-04-26T09:36:43Z</dcterms:created>
  <dcterms:modified xsi:type="dcterms:W3CDTF">2026-04-26T15:04:07Z</dcterms:modified>
</cp:coreProperties>
</file>